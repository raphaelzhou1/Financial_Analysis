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ianyu/Desktop/Finance/Financial_Analysis/Natural Resources/NextEra/"/>
    </mc:Choice>
  </mc:AlternateContent>
  <xr:revisionPtr revIDLastSave="0" documentId="13_ncr:1_{AA9394C6-20EC-D94F-A9F9-3411C1D82CF3}" xr6:coauthVersionLast="47" xr6:coauthVersionMax="47" xr10:uidLastSave="{00000000-0000-0000-0000-000000000000}"/>
  <bookViews>
    <workbookView xWindow="9180" yWindow="760" windowWidth="21520" windowHeight="18880" xr2:uid="{AF392153-9F0B-D049-BFC1-331E5789EFEF}"/>
  </bookViews>
  <sheets>
    <sheet name="Earning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" i="1" l="1"/>
  <c r="D35" i="1"/>
  <c r="E35" i="1"/>
  <c r="F35" i="1"/>
  <c r="G35" i="1"/>
  <c r="J35" i="1"/>
  <c r="K35" i="1"/>
  <c r="L35" i="1"/>
  <c r="M35" i="1"/>
  <c r="N35" i="1"/>
  <c r="O35" i="1"/>
  <c r="B35" i="1"/>
  <c r="C32" i="1"/>
  <c r="D32" i="1"/>
  <c r="E32" i="1"/>
  <c r="F32" i="1"/>
  <c r="G32" i="1"/>
  <c r="J32" i="1"/>
  <c r="K32" i="1"/>
  <c r="L32" i="1"/>
  <c r="M32" i="1"/>
  <c r="N32" i="1"/>
  <c r="O32" i="1"/>
  <c r="B32" i="1"/>
  <c r="C31" i="1"/>
  <c r="D31" i="1"/>
  <c r="E31" i="1"/>
  <c r="F31" i="1"/>
  <c r="G31" i="1"/>
  <c r="H31" i="1"/>
  <c r="H32" i="1" s="1"/>
  <c r="H35" i="1" s="1"/>
  <c r="I31" i="1"/>
  <c r="I32" i="1" s="1"/>
  <c r="I35" i="1" s="1"/>
  <c r="J31" i="1"/>
  <c r="K31" i="1"/>
  <c r="L31" i="1"/>
  <c r="M31" i="1"/>
  <c r="N31" i="1"/>
  <c r="O31" i="1"/>
  <c r="B31" i="1"/>
  <c r="C23" i="1"/>
  <c r="C25" i="1" s="1"/>
  <c r="D23" i="1"/>
  <c r="D25" i="1" s="1"/>
  <c r="E23" i="1"/>
  <c r="E25" i="1" s="1"/>
  <c r="F23" i="1"/>
  <c r="F25" i="1" s="1"/>
  <c r="G23" i="1"/>
  <c r="G25" i="1" s="1"/>
  <c r="H23" i="1"/>
  <c r="H25" i="1" s="1"/>
  <c r="I23" i="1"/>
  <c r="I25" i="1" s="1"/>
  <c r="J23" i="1"/>
  <c r="K23" i="1"/>
  <c r="K25" i="1" s="1"/>
  <c r="L23" i="1"/>
  <c r="L25" i="1" s="1"/>
  <c r="M23" i="1"/>
  <c r="M25" i="1" s="1"/>
  <c r="N23" i="1"/>
  <c r="N25" i="1" s="1"/>
  <c r="O23" i="1"/>
  <c r="O25" i="1" s="1"/>
  <c r="B23" i="1"/>
  <c r="B25" i="1" s="1"/>
  <c r="J25" i="1"/>
  <c r="D68" i="1"/>
  <c r="E68" i="1"/>
  <c r="F68" i="1"/>
  <c r="G68" i="1"/>
  <c r="H68" i="1"/>
  <c r="I68" i="1"/>
  <c r="J68" i="1"/>
  <c r="K68" i="1"/>
  <c r="L68" i="1"/>
  <c r="M68" i="1"/>
  <c r="N68" i="1"/>
  <c r="C68" i="1"/>
  <c r="O83" i="1" l="1"/>
  <c r="B80" i="1"/>
  <c r="B83" i="1" s="1"/>
  <c r="D79" i="1"/>
  <c r="E79" i="1"/>
  <c r="F79" i="1"/>
  <c r="G79" i="1"/>
  <c r="H79" i="1"/>
  <c r="I79" i="1"/>
  <c r="J79" i="1"/>
  <c r="K79" i="1"/>
  <c r="L79" i="1"/>
  <c r="M79" i="1"/>
  <c r="N79" i="1"/>
  <c r="C79" i="1"/>
  <c r="D70" i="1"/>
  <c r="E70" i="1"/>
  <c r="F70" i="1"/>
  <c r="G70" i="1"/>
  <c r="H70" i="1"/>
  <c r="I70" i="1"/>
  <c r="J70" i="1"/>
  <c r="K70" i="1"/>
  <c r="L70" i="1"/>
  <c r="M70" i="1"/>
  <c r="N70" i="1"/>
  <c r="C70" i="1"/>
  <c r="E2" i="1"/>
  <c r="L80" i="1" l="1"/>
  <c r="L83" i="1" s="1"/>
  <c r="G80" i="1"/>
  <c r="G83" i="1" s="1"/>
  <c r="M80" i="1"/>
  <c r="M83" i="1" s="1"/>
  <c r="K80" i="1"/>
  <c r="K83" i="1" s="1"/>
  <c r="F80" i="1"/>
  <c r="F83" i="1" s="1"/>
  <c r="J80" i="1"/>
  <c r="J83" i="1" s="1"/>
  <c r="E80" i="1"/>
  <c r="E83" i="1" s="1"/>
  <c r="D80" i="1"/>
  <c r="D83" i="1" s="1"/>
  <c r="H80" i="1"/>
  <c r="H83" i="1" s="1"/>
  <c r="C80" i="1"/>
  <c r="C83" i="1" s="1"/>
  <c r="N80" i="1"/>
  <c r="N83" i="1" s="1"/>
  <c r="I80" i="1"/>
  <c r="I83" i="1" s="1"/>
  <c r="D2" i="1"/>
  <c r="C2" i="1" s="1"/>
  <c r="B2" i="1" s="1"/>
  <c r="G2" i="1"/>
  <c r="H2" i="1" s="1"/>
  <c r="I2" i="1" s="1"/>
  <c r="J2" i="1" s="1"/>
  <c r="K2" i="1" s="1"/>
  <c r="L2" i="1" s="1"/>
  <c r="M2" i="1" s="1"/>
  <c r="N2" i="1" s="1"/>
  <c r="O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tc={6B97AA21-8690-544B-955B-D87A1ABCDAA2}</author>
  </authors>
  <commentList>
    <comment ref="J5" authorId="0" shapeId="0" xr:uid="{6B97AA21-8690-544B-955B-D87A1ABCDAA2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https://www.investor.nexteraenergy.com/news-and-events/news-releases/2021/08-10-2021-210539265</t>
      </text>
    </comment>
  </commentList>
</comments>
</file>

<file path=xl/sharedStrings.xml><?xml version="1.0" encoding="utf-8"?>
<sst xmlns="http://schemas.openxmlformats.org/spreadsheetml/2006/main" count="81" uniqueCount="57">
  <si>
    <t>NextEra</t>
  </si>
  <si>
    <t>NEER</t>
  </si>
  <si>
    <t>Corporate and Other</t>
  </si>
  <si>
    <t>Operating Income</t>
  </si>
  <si>
    <t>Net losses associated with non-qualifying hedge activity</t>
  </si>
  <si>
    <t>Differential membership interests-related - NEER</t>
  </si>
  <si>
    <t>NEP investment gains, net - NEER</t>
  </si>
  <si>
    <t>Gain on disposal of a business - NEER</t>
  </si>
  <si>
    <t>Change in unrealized gains on equity securities held in NEER's nuclear decommissioning funds and OTTI, net</t>
  </si>
  <si>
    <t>Impairment charges related to investment in Mountain Valley Pipeline - NEER</t>
  </si>
  <si>
    <t xml:space="preserve">Adjusted </t>
  </si>
  <si>
    <t>Total Net Income</t>
  </si>
  <si>
    <t>FPL Net Income</t>
  </si>
  <si>
    <t>Customer # (millions)</t>
  </si>
  <si>
    <t>NEER Net Income</t>
  </si>
  <si>
    <t>Cost recovery clauses</t>
  </si>
  <si>
    <t>Franchise fees</t>
  </si>
  <si>
    <t>Gross receipts</t>
  </si>
  <si>
    <t>Surcharges related to storms</t>
  </si>
  <si>
    <t>Florida Power &amp; Light Company</t>
  </si>
  <si>
    <t>1,000-kWh residential customer bill</t>
  </si>
  <si>
    <t>1,000-kWh residential customer bill in Northwest Florida</t>
  </si>
  <si>
    <t>Operating Revenues</t>
  </si>
  <si>
    <t>Operating Expenses</t>
  </si>
  <si>
    <t>Gains (losses) on disposal of businesses/assets – net</t>
  </si>
  <si>
    <t>Interest expense</t>
  </si>
  <si>
    <t>Depreciation and amortization</t>
  </si>
  <si>
    <t>Equity in earnings of equity method investees</t>
  </si>
  <si>
    <t>Income tax expense (benefit)</t>
  </si>
  <si>
    <t>Corporate and Other Net Income</t>
  </si>
  <si>
    <t>Reserve amortization recorded under the 2021 and 2016 rate agreements</t>
  </si>
  <si>
    <t>One-time reserve adjustment recorded under the 2021 rate agreement</t>
  </si>
  <si>
    <t>Other depreciation and amortization recovered under base rates (excluding reserve amortization) and other</t>
  </si>
  <si>
    <t>Depreciation and amortization primarily recovered under cost recovery clauses and securitized storm-recovery cost amortization</t>
  </si>
  <si>
    <t>Adjustments</t>
  </si>
  <si>
    <t>Fuel, purchased power and interchange</t>
  </si>
  <si>
    <t>Other operations and maintenance</t>
  </si>
  <si>
    <t>Taxes other than income taxes and other – net</t>
  </si>
  <si>
    <t>Total operating expenses – net</t>
  </si>
  <si>
    <t>NEE</t>
  </si>
  <si>
    <t>Equity in earnings (losses) of equity method investees</t>
  </si>
  <si>
    <t>Allowance for equity funds used during construction</t>
  </si>
  <si>
    <t>Gains on disposal of investments and other property – net</t>
  </si>
  <si>
    <t>Change in unrealized gains (losses) on equity securities held in NEER's nuclear decommissioning funds – net</t>
  </si>
  <si>
    <t>Other net periodic benefit income</t>
  </si>
  <si>
    <t>Other – net</t>
  </si>
  <si>
    <t>Total Other income (deductions)</t>
  </si>
  <si>
    <t>Other income (deductions)</t>
  </si>
  <si>
    <t>Income taxes</t>
  </si>
  <si>
    <t>Net Loss Attributable to Noncontrolling Interests</t>
  </si>
  <si>
    <t>Earnings before Taxes</t>
  </si>
  <si>
    <t>Storm restoration costs</t>
  </si>
  <si>
    <t>Taxes other than income taxes and other</t>
  </si>
  <si>
    <t>Operating Margin</t>
  </si>
  <si>
    <t>Other Income</t>
  </si>
  <si>
    <t>Total Other Income</t>
  </si>
  <si>
    <t>Income before income 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</si>
</sst>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Zhou, Tianyu" id="{6609FD04-8E8F-A147-912E-8EF16B223CED}" userId="S::tzhou31@ad.brown.edu::4d27d638-6db8-4153-9072-67d0c5871ca3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5" dT="2023-12-31T13:22:50.12" personId="{6609FD04-8E8F-A147-912E-8EF16B223CED}" id="{6B97AA21-8690-544B-955B-D87A1ABCDAA2}">
    <text>https://www.investor.nexteraenergy.com/news-and-events/news-releases/2021/08-10-2021-210539265</text>
    <extLst>
      <x:ext xmlns:xltc2="http://schemas.microsoft.com/office/spreadsheetml/2020/threadedcomments2" uri="{F7C98A9C-CBB3-438F-8F68-D28B6AF4A901}">
        <xltc2:checksum>2166297445</xltc2:checksum>
        <xltc2:hyperlink startIndex="0" length="94" url="https://www.investor.nexteraenergy.com/news-and-events/news-releases/2021/08-10-2021-210539265"/>
      </x:ext>
    </extLs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5E999-0C3A-224E-A306-941575025FAD}">
  <sheetPr codeName="Sheet1"/>
  <dimension ref="A1:O92"/>
  <sheetViews>
    <sheetView tabSelected="1" workbookViewId="0">
      <selection activeCell="H35" sqref="H35"/>
    </sheetView>
  </sheetViews>
  <sheetFormatPr baseColWidth="10" defaultRowHeight="16" x14ac:dyDescent="0.2"/>
  <cols>
    <col min="1" max="1" width="18" style="1" bestFit="1" customWidth="1"/>
    <col min="2" max="16384" width="10.83203125" style="1"/>
  </cols>
  <sheetData>
    <row r="1" spans="1:15" x14ac:dyDescent="0.2">
      <c r="A1" s="1" t="s">
        <v>0</v>
      </c>
    </row>
    <row r="2" spans="1:15" x14ac:dyDescent="0.2">
      <c r="B2" s="1">
        <f>C2-1</f>
        <v>2013</v>
      </c>
      <c r="C2" s="1">
        <f>D2-1</f>
        <v>2014</v>
      </c>
      <c r="D2" s="1">
        <f>E2-1</f>
        <v>2015</v>
      </c>
      <c r="E2" s="1">
        <f>F2-1</f>
        <v>2016</v>
      </c>
      <c r="F2" s="1">
        <v>2017</v>
      </c>
      <c r="G2" s="1">
        <f>F2+1</f>
        <v>2018</v>
      </c>
      <c r="H2" s="1">
        <f t="shared" ref="H2:O2" si="0">G2+1</f>
        <v>2019</v>
      </c>
      <c r="I2" s="1">
        <f t="shared" si="0"/>
        <v>2020</v>
      </c>
      <c r="J2" s="1">
        <f t="shared" si="0"/>
        <v>2021</v>
      </c>
      <c r="K2" s="1">
        <f t="shared" si="0"/>
        <v>2022</v>
      </c>
      <c r="L2" s="1">
        <f t="shared" si="0"/>
        <v>2023</v>
      </c>
      <c r="M2" s="1">
        <f t="shared" si="0"/>
        <v>2024</v>
      </c>
      <c r="N2" s="1">
        <f t="shared" si="0"/>
        <v>2025</v>
      </c>
      <c r="O2" s="1">
        <f t="shared" si="0"/>
        <v>2026</v>
      </c>
    </row>
    <row r="3" spans="1:15" x14ac:dyDescent="0.2">
      <c r="A3" s="2" t="s">
        <v>19</v>
      </c>
    </row>
    <row r="4" spans="1:15" x14ac:dyDescent="0.2">
      <c r="A4" s="3" t="s">
        <v>13</v>
      </c>
      <c r="K4" s="1">
        <v>5.8</v>
      </c>
    </row>
    <row r="5" spans="1:15" x14ac:dyDescent="0.2">
      <c r="A5" s="3" t="s">
        <v>20</v>
      </c>
      <c r="J5" s="1">
        <v>101.7</v>
      </c>
      <c r="K5" s="1">
        <v>107.78</v>
      </c>
      <c r="L5" s="1">
        <v>111.63</v>
      </c>
      <c r="M5" s="1">
        <v>113.84</v>
      </c>
      <c r="N5" s="1">
        <v>115.34</v>
      </c>
    </row>
    <row r="6" spans="1:15" x14ac:dyDescent="0.2">
      <c r="A6" s="3" t="s">
        <v>21</v>
      </c>
      <c r="H6" s="1">
        <v>128.86000000000001</v>
      </c>
      <c r="J6" s="1">
        <v>129.24</v>
      </c>
      <c r="K6" s="1">
        <v>131.43</v>
      </c>
      <c r="L6" s="1">
        <v>130.55000000000001</v>
      </c>
      <c r="M6" s="1">
        <v>128.03</v>
      </c>
      <c r="N6" s="1">
        <v>124.8</v>
      </c>
    </row>
    <row r="7" spans="1:15" x14ac:dyDescent="0.2">
      <c r="A7" s="3" t="s">
        <v>15</v>
      </c>
    </row>
    <row r="8" spans="1:15" x14ac:dyDescent="0.2">
      <c r="A8" s="3" t="s">
        <v>16</v>
      </c>
    </row>
    <row r="9" spans="1:15" x14ac:dyDescent="0.2">
      <c r="A9" s="3" t="s">
        <v>17</v>
      </c>
    </row>
    <row r="10" spans="1:15" x14ac:dyDescent="0.2">
      <c r="A10" s="3" t="s">
        <v>18</v>
      </c>
    </row>
    <row r="11" spans="1:15" x14ac:dyDescent="0.2">
      <c r="A11" s="2" t="s">
        <v>22</v>
      </c>
      <c r="H11" s="1">
        <v>13680</v>
      </c>
      <c r="I11" s="1">
        <v>13060</v>
      </c>
      <c r="J11" s="1">
        <v>14102</v>
      </c>
      <c r="K11" s="1">
        <v>17282</v>
      </c>
    </row>
    <row r="12" spans="1:15" x14ac:dyDescent="0.2">
      <c r="A12" s="2"/>
    </row>
    <row r="13" spans="1:15" x14ac:dyDescent="0.2">
      <c r="A13" s="3" t="s">
        <v>35</v>
      </c>
      <c r="H13" s="1">
        <v>3802</v>
      </c>
      <c r="I13" s="1">
        <v>3060</v>
      </c>
      <c r="J13" s="1">
        <v>3956</v>
      </c>
      <c r="K13" s="1">
        <v>5688</v>
      </c>
    </row>
    <row r="14" spans="1:15" x14ac:dyDescent="0.2">
      <c r="A14" s="3" t="s">
        <v>36</v>
      </c>
      <c r="H14" s="1">
        <v>1790</v>
      </c>
      <c r="I14" s="1">
        <v>1707</v>
      </c>
      <c r="J14" s="1">
        <v>1803</v>
      </c>
      <c r="K14" s="1">
        <v>1857</v>
      </c>
    </row>
    <row r="15" spans="1:15" x14ac:dyDescent="0.2">
      <c r="A15" s="3" t="s">
        <v>51</v>
      </c>
      <c r="H15" s="1">
        <v>234</v>
      </c>
      <c r="I15" s="1">
        <v>183</v>
      </c>
      <c r="J15" s="1">
        <v>28</v>
      </c>
    </row>
    <row r="16" spans="1:15" x14ac:dyDescent="0.2">
      <c r="A16" s="3" t="s">
        <v>26</v>
      </c>
    </row>
    <row r="17" spans="1:15" x14ac:dyDescent="0.2">
      <c r="A17" s="3" t="s">
        <v>30</v>
      </c>
    </row>
    <row r="18" spans="1:15" x14ac:dyDescent="0.2">
      <c r="A18" s="3" t="s">
        <v>31</v>
      </c>
    </row>
    <row r="19" spans="1:15" x14ac:dyDescent="0.2">
      <c r="A19" s="3" t="s">
        <v>32</v>
      </c>
    </row>
    <row r="20" spans="1:15" x14ac:dyDescent="0.2">
      <c r="A20" s="3" t="s">
        <v>33</v>
      </c>
    </row>
    <row r="21" spans="1:15" x14ac:dyDescent="0.2">
      <c r="A21" s="3" t="s">
        <v>26</v>
      </c>
      <c r="H21" s="1">
        <v>2771</v>
      </c>
      <c r="I21" s="1">
        <v>2526</v>
      </c>
      <c r="J21" s="1">
        <v>2266</v>
      </c>
      <c r="K21" s="1">
        <v>2695</v>
      </c>
    </row>
    <row r="22" spans="1:15" x14ac:dyDescent="0.2">
      <c r="A22" s="3" t="s">
        <v>52</v>
      </c>
      <c r="H22" s="1">
        <v>1504</v>
      </c>
      <c r="I22" s="1">
        <v>1464</v>
      </c>
      <c r="J22" s="1">
        <v>1533</v>
      </c>
      <c r="K22" s="1">
        <v>1748</v>
      </c>
    </row>
    <row r="23" spans="1:15" x14ac:dyDescent="0.2">
      <c r="A23" s="2" t="s">
        <v>23</v>
      </c>
      <c r="B23" s="1">
        <f>B13+B14+B15+B21+B22</f>
        <v>0</v>
      </c>
      <c r="C23" s="1">
        <f t="shared" ref="C23:O23" si="1">C13+C14+C15+C21+C22</f>
        <v>0</v>
      </c>
      <c r="D23" s="1">
        <f t="shared" si="1"/>
        <v>0</v>
      </c>
      <c r="E23" s="1">
        <f t="shared" si="1"/>
        <v>0</v>
      </c>
      <c r="F23" s="1">
        <f t="shared" si="1"/>
        <v>0</v>
      </c>
      <c r="G23" s="1">
        <f t="shared" si="1"/>
        <v>0</v>
      </c>
      <c r="H23" s="1">
        <f t="shared" si="1"/>
        <v>10101</v>
      </c>
      <c r="I23" s="1">
        <f t="shared" si="1"/>
        <v>8940</v>
      </c>
      <c r="J23" s="1">
        <f t="shared" si="1"/>
        <v>9586</v>
      </c>
      <c r="K23" s="1">
        <f t="shared" si="1"/>
        <v>11988</v>
      </c>
      <c r="L23" s="1">
        <f t="shared" si="1"/>
        <v>0</v>
      </c>
      <c r="M23" s="1">
        <f t="shared" si="1"/>
        <v>0</v>
      </c>
      <c r="N23" s="1">
        <f t="shared" si="1"/>
        <v>0</v>
      </c>
      <c r="O23" s="1">
        <f t="shared" si="1"/>
        <v>0</v>
      </c>
    </row>
    <row r="24" spans="1:15" x14ac:dyDescent="0.2">
      <c r="A24" s="3" t="s">
        <v>53</v>
      </c>
    </row>
    <row r="25" spans="1:15" x14ac:dyDescent="0.2">
      <c r="A25" s="2" t="s">
        <v>3</v>
      </c>
      <c r="B25" s="1">
        <f>B11-B23</f>
        <v>0</v>
      </c>
      <c r="C25" s="1">
        <f>C11-C23</f>
        <v>0</v>
      </c>
      <c r="D25" s="1">
        <f>D11-D23</f>
        <v>0</v>
      </c>
      <c r="E25" s="1">
        <f>E11-E23</f>
        <v>0</v>
      </c>
      <c r="F25" s="1">
        <f>F11-F23</f>
        <v>0</v>
      </c>
      <c r="G25" s="1">
        <f>G11-G23</f>
        <v>0</v>
      </c>
      <c r="H25" s="1">
        <f>H11-H23</f>
        <v>3579</v>
      </c>
      <c r="I25" s="1">
        <f>I11-I23</f>
        <v>4120</v>
      </c>
      <c r="J25" s="1">
        <f>J11-J23</f>
        <v>4516</v>
      </c>
      <c r="K25" s="1">
        <f>K11-K23</f>
        <v>5294</v>
      </c>
      <c r="L25" s="1">
        <f>L11-L23</f>
        <v>0</v>
      </c>
      <c r="M25" s="1">
        <f>M11-M23</f>
        <v>0</v>
      </c>
      <c r="N25" s="1">
        <f>N11-N23</f>
        <v>0</v>
      </c>
      <c r="O25" s="1">
        <f>O11-O23</f>
        <v>0</v>
      </c>
    </row>
    <row r="26" spans="1:15" x14ac:dyDescent="0.2">
      <c r="A26" s="2"/>
    </row>
    <row r="27" spans="1:15" x14ac:dyDescent="0.2">
      <c r="A27" s="3" t="s">
        <v>54</v>
      </c>
    </row>
    <row r="28" spans="1:15" x14ac:dyDescent="0.2">
      <c r="A28" s="3" t="s">
        <v>25</v>
      </c>
      <c r="H28" s="1">
        <v>649</v>
      </c>
      <c r="I28" s="1">
        <v>641</v>
      </c>
      <c r="J28" s="1">
        <v>615</v>
      </c>
      <c r="K28" s="1">
        <v>768</v>
      </c>
    </row>
    <row r="29" spans="1:15" x14ac:dyDescent="0.2">
      <c r="A29" s="3" t="s">
        <v>41</v>
      </c>
      <c r="H29" s="1">
        <v>66</v>
      </c>
      <c r="I29" s="1">
        <v>87</v>
      </c>
      <c r="J29" s="1">
        <v>132</v>
      </c>
      <c r="K29" s="1">
        <v>105</v>
      </c>
    </row>
    <row r="30" spans="1:15" x14ac:dyDescent="0.2">
      <c r="A30" s="3" t="s">
        <v>45</v>
      </c>
      <c r="H30" s="1">
        <v>7</v>
      </c>
      <c r="I30" s="1">
        <v>2</v>
      </c>
      <c r="J30" s="1">
        <v>11</v>
      </c>
      <c r="K30" s="1">
        <v>17</v>
      </c>
    </row>
    <row r="31" spans="1:15" x14ac:dyDescent="0.2">
      <c r="A31" s="3" t="s">
        <v>55</v>
      </c>
      <c r="B31" s="1">
        <f>-B28+B29+B30</f>
        <v>0</v>
      </c>
      <c r="C31" s="1">
        <f t="shared" ref="C31:O31" si="2">-C28+C29+C30</f>
        <v>0</v>
      </c>
      <c r="D31" s="1">
        <f t="shared" si="2"/>
        <v>0</v>
      </c>
      <c r="E31" s="1">
        <f t="shared" si="2"/>
        <v>0</v>
      </c>
      <c r="F31" s="1">
        <f t="shared" si="2"/>
        <v>0</v>
      </c>
      <c r="G31" s="1">
        <f t="shared" si="2"/>
        <v>0</v>
      </c>
      <c r="H31" s="1">
        <f t="shared" si="2"/>
        <v>-576</v>
      </c>
      <c r="I31" s="1">
        <f t="shared" si="2"/>
        <v>-552</v>
      </c>
      <c r="J31" s="1">
        <f t="shared" si="2"/>
        <v>-472</v>
      </c>
      <c r="K31" s="1">
        <f t="shared" si="2"/>
        <v>-646</v>
      </c>
      <c r="L31" s="1">
        <f t="shared" si="2"/>
        <v>0</v>
      </c>
      <c r="M31" s="1">
        <f t="shared" si="2"/>
        <v>0</v>
      </c>
      <c r="N31" s="1">
        <f t="shared" si="2"/>
        <v>0</v>
      </c>
      <c r="O31" s="1">
        <f t="shared" si="2"/>
        <v>0</v>
      </c>
    </row>
    <row r="32" spans="1:15" x14ac:dyDescent="0.2">
      <c r="A32" s="3" t="s">
        <v>56</v>
      </c>
      <c r="B32" s="1">
        <f>B25+B31</f>
        <v>0</v>
      </c>
      <c r="C32" s="1">
        <f t="shared" ref="C32:O32" si="3">C25+C31</f>
        <v>0</v>
      </c>
      <c r="D32" s="1">
        <f t="shared" si="3"/>
        <v>0</v>
      </c>
      <c r="E32" s="1">
        <f t="shared" si="3"/>
        <v>0</v>
      </c>
      <c r="F32" s="1">
        <f t="shared" si="3"/>
        <v>0</v>
      </c>
      <c r="G32" s="1">
        <f t="shared" si="3"/>
        <v>0</v>
      </c>
      <c r="H32" s="1">
        <f t="shared" si="3"/>
        <v>3003</v>
      </c>
      <c r="I32" s="1">
        <f t="shared" si="3"/>
        <v>3568</v>
      </c>
      <c r="J32" s="1">
        <f t="shared" si="3"/>
        <v>4044</v>
      </c>
      <c r="K32" s="1">
        <f t="shared" si="3"/>
        <v>4648</v>
      </c>
      <c r="L32" s="1">
        <f t="shared" si="3"/>
        <v>0</v>
      </c>
      <c r="M32" s="1">
        <f t="shared" si="3"/>
        <v>0</v>
      </c>
      <c r="N32" s="1">
        <f t="shared" si="3"/>
        <v>0</v>
      </c>
      <c r="O32" s="1">
        <f t="shared" si="3"/>
        <v>0</v>
      </c>
    </row>
    <row r="33" spans="1:15" x14ac:dyDescent="0.2">
      <c r="A33" s="2"/>
    </row>
    <row r="34" spans="1:15" x14ac:dyDescent="0.2">
      <c r="A34" s="3" t="s">
        <v>28</v>
      </c>
      <c r="H34" s="1">
        <v>484</v>
      </c>
      <c r="I34" s="1">
        <v>678</v>
      </c>
      <c r="J34" s="1">
        <v>838</v>
      </c>
      <c r="K34" s="1">
        <v>947</v>
      </c>
    </row>
    <row r="35" spans="1:15" x14ac:dyDescent="0.2">
      <c r="A35" s="1" t="s">
        <v>12</v>
      </c>
      <c r="B35" s="1">
        <f>B32-B34</f>
        <v>0</v>
      </c>
      <c r="C35" s="1">
        <f t="shared" ref="C35:O35" si="4">C32-C34</f>
        <v>0</v>
      </c>
      <c r="D35" s="1">
        <f t="shared" si="4"/>
        <v>0</v>
      </c>
      <c r="E35" s="1">
        <f t="shared" si="4"/>
        <v>0</v>
      </c>
      <c r="F35" s="1">
        <f t="shared" si="4"/>
        <v>0</v>
      </c>
      <c r="G35" s="1">
        <f t="shared" si="4"/>
        <v>0</v>
      </c>
      <c r="H35" s="1">
        <f t="shared" si="4"/>
        <v>2519</v>
      </c>
      <c r="I35" s="1">
        <f t="shared" si="4"/>
        <v>2890</v>
      </c>
      <c r="J35" s="1">
        <f t="shared" si="4"/>
        <v>3206</v>
      </c>
      <c r="K35" s="1">
        <f t="shared" si="4"/>
        <v>3701</v>
      </c>
      <c r="L35" s="1">
        <f t="shared" si="4"/>
        <v>0</v>
      </c>
      <c r="M35" s="1">
        <f t="shared" si="4"/>
        <v>0</v>
      </c>
      <c r="N35" s="1">
        <f t="shared" si="4"/>
        <v>0</v>
      </c>
      <c r="O35" s="1">
        <f t="shared" si="4"/>
        <v>0</v>
      </c>
    </row>
    <row r="38" spans="1:15" x14ac:dyDescent="0.2">
      <c r="A38" s="2" t="s">
        <v>1</v>
      </c>
    </row>
    <row r="39" spans="1:15" x14ac:dyDescent="0.2">
      <c r="A39" s="3" t="s">
        <v>22</v>
      </c>
      <c r="J39" s="1">
        <v>3053</v>
      </c>
      <c r="K39" s="1">
        <v>3720</v>
      </c>
    </row>
    <row r="40" spans="1:15" x14ac:dyDescent="0.2">
      <c r="A40" s="3" t="s">
        <v>23</v>
      </c>
      <c r="J40" s="1">
        <v>4434</v>
      </c>
      <c r="K40" s="1">
        <v>5140</v>
      </c>
    </row>
    <row r="41" spans="1:15" x14ac:dyDescent="0.2">
      <c r="A41" s="3" t="s">
        <v>24</v>
      </c>
      <c r="J41" s="1">
        <v>78</v>
      </c>
      <c r="K41" s="1">
        <v>536</v>
      </c>
    </row>
    <row r="42" spans="1:15" x14ac:dyDescent="0.2">
      <c r="A42" s="3" t="s">
        <v>25</v>
      </c>
      <c r="J42" s="1">
        <v>367</v>
      </c>
      <c r="K42" s="1">
        <v>128</v>
      </c>
    </row>
    <row r="43" spans="1:15" x14ac:dyDescent="0.2">
      <c r="A43" s="3" t="s">
        <v>26</v>
      </c>
      <c r="J43" s="1">
        <v>1576</v>
      </c>
      <c r="K43" s="1">
        <v>1722</v>
      </c>
    </row>
    <row r="44" spans="1:15" x14ac:dyDescent="0.2">
      <c r="A44" s="3" t="s">
        <v>27</v>
      </c>
      <c r="J44" s="1">
        <v>666</v>
      </c>
      <c r="K44" s="1">
        <v>202</v>
      </c>
    </row>
    <row r="45" spans="1:15" x14ac:dyDescent="0.2">
      <c r="A45" s="3" t="s">
        <v>28</v>
      </c>
      <c r="J45" s="1">
        <v>-395</v>
      </c>
      <c r="K45" s="1">
        <v>-391</v>
      </c>
    </row>
    <row r="46" spans="1:15" x14ac:dyDescent="0.2">
      <c r="A46" s="1" t="s">
        <v>14</v>
      </c>
      <c r="C46" s="1">
        <v>989</v>
      </c>
      <c r="D46" s="1">
        <v>1092</v>
      </c>
      <c r="E46" s="1">
        <v>1125</v>
      </c>
      <c r="F46" s="1">
        <v>2997</v>
      </c>
      <c r="G46" s="1">
        <v>4704</v>
      </c>
      <c r="H46" s="1">
        <v>1807</v>
      </c>
      <c r="I46" s="1">
        <v>531</v>
      </c>
      <c r="J46" s="1">
        <v>-147</v>
      </c>
      <c r="K46" s="1">
        <v>-616</v>
      </c>
    </row>
    <row r="48" spans="1:15" x14ac:dyDescent="0.2">
      <c r="A48" s="2" t="s">
        <v>2</v>
      </c>
    </row>
    <row r="49" spans="1:11" x14ac:dyDescent="0.2">
      <c r="A49" s="3" t="s">
        <v>22</v>
      </c>
      <c r="J49" s="1">
        <v>-86</v>
      </c>
      <c r="K49" s="1">
        <v>-46</v>
      </c>
    </row>
    <row r="50" spans="1:11" x14ac:dyDescent="0.2">
      <c r="A50" s="3" t="s">
        <v>23</v>
      </c>
      <c r="J50" s="1">
        <v>212</v>
      </c>
      <c r="K50" s="1">
        <v>265</v>
      </c>
    </row>
    <row r="51" spans="1:11" x14ac:dyDescent="0.2">
      <c r="A51" s="3" t="s">
        <v>24</v>
      </c>
      <c r="J51" s="1">
        <v>-2</v>
      </c>
      <c r="K51" s="1">
        <v>-18</v>
      </c>
    </row>
    <row r="52" spans="1:11" x14ac:dyDescent="0.2">
      <c r="A52" s="3" t="s">
        <v>25</v>
      </c>
      <c r="J52" s="1">
        <v>288</v>
      </c>
      <c r="K52" s="1">
        <v>-311</v>
      </c>
    </row>
    <row r="53" spans="1:11" x14ac:dyDescent="0.2">
      <c r="A53" s="3" t="s">
        <v>26</v>
      </c>
      <c r="J53" s="1">
        <v>82</v>
      </c>
      <c r="K53" s="1">
        <v>86</v>
      </c>
    </row>
    <row r="54" spans="1:11" x14ac:dyDescent="0.2">
      <c r="A54" s="3" t="s">
        <v>27</v>
      </c>
      <c r="K54" s="1">
        <v>1</v>
      </c>
    </row>
    <row r="55" spans="1:11" x14ac:dyDescent="0.2">
      <c r="A55" s="3" t="s">
        <v>28</v>
      </c>
      <c r="J55" s="1">
        <v>95</v>
      </c>
      <c r="K55" s="1">
        <v>30</v>
      </c>
    </row>
    <row r="56" spans="1:11" x14ac:dyDescent="0.2">
      <c r="A56" s="1" t="s">
        <v>29</v>
      </c>
      <c r="C56" s="1">
        <v>-41</v>
      </c>
      <c r="D56" s="1">
        <v>12</v>
      </c>
      <c r="E56" s="1">
        <v>60</v>
      </c>
      <c r="F56" s="1">
        <v>-552</v>
      </c>
      <c r="G56" s="1">
        <v>-237</v>
      </c>
      <c r="H56" s="1">
        <v>503</v>
      </c>
      <c r="I56" s="1">
        <v>-502</v>
      </c>
      <c r="J56" s="1">
        <v>-232</v>
      </c>
      <c r="K56" s="1">
        <v>161</v>
      </c>
    </row>
    <row r="60" spans="1:11" x14ac:dyDescent="0.2">
      <c r="A60" s="2" t="s">
        <v>39</v>
      </c>
    </row>
    <row r="61" spans="1:11" x14ac:dyDescent="0.2">
      <c r="A61" s="2" t="s">
        <v>22</v>
      </c>
      <c r="F61" s="1">
        <v>17195</v>
      </c>
      <c r="G61" s="1">
        <v>16727</v>
      </c>
      <c r="H61" s="1">
        <v>19204</v>
      </c>
      <c r="I61" s="1">
        <v>17997</v>
      </c>
      <c r="J61" s="1">
        <v>17069</v>
      </c>
      <c r="K61" s="1">
        <v>20956</v>
      </c>
    </row>
    <row r="62" spans="1:11" x14ac:dyDescent="0.2">
      <c r="A62" s="2" t="s">
        <v>23</v>
      </c>
    </row>
    <row r="63" spans="1:11" x14ac:dyDescent="0.2">
      <c r="A63" s="1" t="s">
        <v>35</v>
      </c>
      <c r="F63" s="1">
        <v>4071</v>
      </c>
      <c r="G63" s="1">
        <v>3732</v>
      </c>
      <c r="H63" s="1">
        <v>4363</v>
      </c>
      <c r="I63" s="1">
        <v>3539</v>
      </c>
      <c r="J63" s="1">
        <v>4527</v>
      </c>
      <c r="K63" s="1">
        <v>6389</v>
      </c>
    </row>
    <row r="64" spans="1:11" x14ac:dyDescent="0.2">
      <c r="A64" s="1" t="s">
        <v>36</v>
      </c>
      <c r="F64" s="1">
        <v>3327</v>
      </c>
      <c r="G64" s="1">
        <v>3330</v>
      </c>
      <c r="H64" s="1">
        <v>3640</v>
      </c>
      <c r="I64" s="1">
        <v>3751</v>
      </c>
      <c r="J64" s="1">
        <v>3981</v>
      </c>
      <c r="K64" s="1">
        <v>4428</v>
      </c>
    </row>
    <row r="65" spans="1:14" x14ac:dyDescent="0.2">
      <c r="A65" s="3" t="s">
        <v>51</v>
      </c>
      <c r="B65" s="2"/>
      <c r="F65" s="1">
        <v>1255</v>
      </c>
      <c r="G65" s="1">
        <v>3</v>
      </c>
      <c r="H65" s="1">
        <v>234</v>
      </c>
      <c r="I65" s="1">
        <v>183</v>
      </c>
    </row>
    <row r="66" spans="1:14" x14ac:dyDescent="0.2">
      <c r="A66" s="1" t="s">
        <v>26</v>
      </c>
      <c r="F66" s="1">
        <v>446</v>
      </c>
      <c r="G66" s="1">
        <v>3911</v>
      </c>
      <c r="H66" s="1">
        <v>4216</v>
      </c>
      <c r="I66" s="1">
        <v>4052</v>
      </c>
      <c r="J66" s="1">
        <v>3924</v>
      </c>
      <c r="K66" s="1">
        <v>4503</v>
      </c>
    </row>
    <row r="67" spans="1:14" x14ac:dyDescent="0.2">
      <c r="A67" s="1" t="s">
        <v>37</v>
      </c>
      <c r="G67" s="1">
        <v>1551</v>
      </c>
      <c r="H67" s="1">
        <v>1804</v>
      </c>
      <c r="I67" s="1">
        <v>1709</v>
      </c>
      <c r="J67" s="1">
        <v>1801</v>
      </c>
      <c r="K67" s="1">
        <v>2077</v>
      </c>
    </row>
    <row r="68" spans="1:14" x14ac:dyDescent="0.2">
      <c r="A68" s="2" t="s">
        <v>38</v>
      </c>
      <c r="C68" s="1">
        <f>C63+C64+C66+C67+C65</f>
        <v>0</v>
      </c>
      <c r="D68" s="1">
        <f t="shared" ref="D68:N68" si="5">D63+D64+D66+D67+D65</f>
        <v>0</v>
      </c>
      <c r="E68" s="1">
        <f t="shared" si="5"/>
        <v>0</v>
      </c>
      <c r="F68" s="1">
        <f t="shared" si="5"/>
        <v>9099</v>
      </c>
      <c r="G68" s="1">
        <f t="shared" si="5"/>
        <v>12527</v>
      </c>
      <c r="H68" s="1">
        <f t="shared" si="5"/>
        <v>14257</v>
      </c>
      <c r="I68" s="1">
        <f t="shared" si="5"/>
        <v>13234</v>
      </c>
      <c r="J68" s="1">
        <f t="shared" si="5"/>
        <v>14233</v>
      </c>
      <c r="K68" s="1">
        <f t="shared" si="5"/>
        <v>17397</v>
      </c>
      <c r="L68" s="1">
        <f t="shared" si="5"/>
        <v>0</v>
      </c>
      <c r="M68" s="1">
        <f t="shared" si="5"/>
        <v>0</v>
      </c>
      <c r="N68" s="1">
        <f t="shared" si="5"/>
        <v>0</v>
      </c>
    </row>
    <row r="69" spans="1:14" x14ac:dyDescent="0.2">
      <c r="A69" s="3" t="s">
        <v>24</v>
      </c>
      <c r="I69" s="1">
        <v>353</v>
      </c>
      <c r="J69" s="1">
        <v>77</v>
      </c>
      <c r="K69" s="1">
        <v>522</v>
      </c>
    </row>
    <row r="70" spans="1:14" x14ac:dyDescent="0.2">
      <c r="A70" s="3" t="s">
        <v>3</v>
      </c>
      <c r="C70" s="1">
        <f>C61-C68+C69</f>
        <v>0</v>
      </c>
      <c r="D70" s="1">
        <f t="shared" ref="D70:N70" si="6">D61-D68+D69</f>
        <v>0</v>
      </c>
      <c r="E70" s="1">
        <f t="shared" si="6"/>
        <v>0</v>
      </c>
      <c r="F70" s="1">
        <f t="shared" si="6"/>
        <v>8096</v>
      </c>
      <c r="G70" s="1">
        <f t="shared" si="6"/>
        <v>4200</v>
      </c>
      <c r="H70" s="1">
        <f t="shared" si="6"/>
        <v>4947</v>
      </c>
      <c r="I70" s="1">
        <f t="shared" si="6"/>
        <v>5116</v>
      </c>
      <c r="J70" s="1">
        <f t="shared" si="6"/>
        <v>2913</v>
      </c>
      <c r="K70" s="1">
        <f t="shared" si="6"/>
        <v>4081</v>
      </c>
      <c r="L70" s="1">
        <f t="shared" si="6"/>
        <v>0</v>
      </c>
      <c r="M70" s="1">
        <f t="shared" si="6"/>
        <v>0</v>
      </c>
      <c r="N70" s="1">
        <f t="shared" si="6"/>
        <v>0</v>
      </c>
    </row>
    <row r="71" spans="1:14" x14ac:dyDescent="0.2">
      <c r="A71" s="2" t="s">
        <v>47</v>
      </c>
    </row>
    <row r="72" spans="1:14" x14ac:dyDescent="0.2">
      <c r="A72" s="3" t="s">
        <v>25</v>
      </c>
      <c r="I72" s="1">
        <v>1950</v>
      </c>
      <c r="J72" s="1">
        <v>1270</v>
      </c>
      <c r="K72" s="1">
        <v>585</v>
      </c>
    </row>
    <row r="73" spans="1:14" x14ac:dyDescent="0.2">
      <c r="A73" s="3" t="s">
        <v>40</v>
      </c>
      <c r="I73" s="1">
        <v>-1351</v>
      </c>
      <c r="J73" s="1">
        <v>666</v>
      </c>
      <c r="K73" s="1">
        <v>203</v>
      </c>
    </row>
    <row r="74" spans="1:14" x14ac:dyDescent="0.2">
      <c r="A74" s="3" t="s">
        <v>41</v>
      </c>
      <c r="I74" s="1">
        <v>93</v>
      </c>
      <c r="J74" s="1">
        <v>142</v>
      </c>
      <c r="K74" s="1">
        <v>112</v>
      </c>
    </row>
    <row r="75" spans="1:14" x14ac:dyDescent="0.2">
      <c r="A75" s="3" t="s">
        <v>42</v>
      </c>
      <c r="I75" s="1">
        <v>50</v>
      </c>
      <c r="J75" s="1">
        <v>70</v>
      </c>
      <c r="K75" s="1">
        <v>80</v>
      </c>
    </row>
    <row r="76" spans="1:14" x14ac:dyDescent="0.2">
      <c r="A76" s="3" t="s">
        <v>43</v>
      </c>
      <c r="I76" s="1">
        <v>163</v>
      </c>
      <c r="J76" s="1">
        <v>267</v>
      </c>
      <c r="K76" s="1">
        <v>-461</v>
      </c>
    </row>
    <row r="77" spans="1:14" x14ac:dyDescent="0.2">
      <c r="A77" s="3" t="s">
        <v>44</v>
      </c>
      <c r="I77" s="1">
        <v>200</v>
      </c>
      <c r="J77" s="1">
        <v>257</v>
      </c>
      <c r="K77" s="1">
        <v>202</v>
      </c>
    </row>
    <row r="78" spans="1:14" x14ac:dyDescent="0.2">
      <c r="A78" s="3" t="s">
        <v>45</v>
      </c>
      <c r="I78" s="1">
        <v>92</v>
      </c>
      <c r="J78" s="1">
        <v>130</v>
      </c>
      <c r="K78" s="1">
        <v>200</v>
      </c>
    </row>
    <row r="79" spans="1:14" x14ac:dyDescent="0.2">
      <c r="A79" s="3" t="s">
        <v>46</v>
      </c>
      <c r="C79" s="1">
        <f>-C72+C73+C74+C75+C76+C77+C78</f>
        <v>0</v>
      </c>
      <c r="D79" s="1">
        <f t="shared" ref="D79:N79" si="7">-D72+D73+D74+D75+D76+D77+D78</f>
        <v>0</v>
      </c>
      <c r="E79" s="1">
        <f t="shared" si="7"/>
        <v>0</v>
      </c>
      <c r="F79" s="1">
        <f t="shared" si="7"/>
        <v>0</v>
      </c>
      <c r="G79" s="1">
        <f t="shared" si="7"/>
        <v>0</v>
      </c>
      <c r="H79" s="1">
        <f t="shared" si="7"/>
        <v>0</v>
      </c>
      <c r="I79" s="1">
        <f t="shared" si="7"/>
        <v>-2703</v>
      </c>
      <c r="J79" s="1">
        <f t="shared" si="7"/>
        <v>262</v>
      </c>
      <c r="K79" s="1">
        <f t="shared" si="7"/>
        <v>-249</v>
      </c>
      <c r="L79" s="1">
        <f t="shared" si="7"/>
        <v>0</v>
      </c>
      <c r="M79" s="1">
        <f t="shared" si="7"/>
        <v>0</v>
      </c>
      <c r="N79" s="1">
        <f t="shared" si="7"/>
        <v>0</v>
      </c>
    </row>
    <row r="80" spans="1:14" x14ac:dyDescent="0.2">
      <c r="A80" s="2" t="s">
        <v>50</v>
      </c>
      <c r="B80" s="1">
        <f>B70+B79</f>
        <v>0</v>
      </c>
      <c r="C80" s="1">
        <f t="shared" ref="C80:N80" si="8">C70+C79</f>
        <v>0</v>
      </c>
      <c r="D80" s="1">
        <f t="shared" si="8"/>
        <v>0</v>
      </c>
      <c r="E80" s="1">
        <f t="shared" si="8"/>
        <v>0</v>
      </c>
      <c r="F80" s="1">
        <f t="shared" si="8"/>
        <v>8096</v>
      </c>
      <c r="G80" s="1">
        <f t="shared" si="8"/>
        <v>4200</v>
      </c>
      <c r="H80" s="1">
        <f t="shared" si="8"/>
        <v>4947</v>
      </c>
      <c r="I80" s="1">
        <f t="shared" si="8"/>
        <v>2413</v>
      </c>
      <c r="J80" s="1">
        <f t="shared" si="8"/>
        <v>3175</v>
      </c>
      <c r="K80" s="1">
        <f t="shared" si="8"/>
        <v>3832</v>
      </c>
      <c r="L80" s="1">
        <f t="shared" si="8"/>
        <v>0</v>
      </c>
      <c r="M80" s="1">
        <f t="shared" si="8"/>
        <v>0</v>
      </c>
      <c r="N80" s="1">
        <f t="shared" si="8"/>
        <v>0</v>
      </c>
    </row>
    <row r="81" spans="1:15" x14ac:dyDescent="0.2">
      <c r="A81" s="3" t="s">
        <v>48</v>
      </c>
      <c r="I81" s="1">
        <v>44</v>
      </c>
      <c r="J81" s="1">
        <v>348</v>
      </c>
      <c r="K81" s="1">
        <v>586</v>
      </c>
    </row>
    <row r="82" spans="1:15" x14ac:dyDescent="0.2">
      <c r="A82" s="3" t="s">
        <v>49</v>
      </c>
      <c r="I82" s="1">
        <v>550</v>
      </c>
      <c r="J82" s="1">
        <v>746</v>
      </c>
      <c r="K82" s="1">
        <v>901</v>
      </c>
    </row>
    <row r="83" spans="1:15" x14ac:dyDescent="0.2">
      <c r="A83" s="2" t="s">
        <v>11</v>
      </c>
      <c r="B83" s="1">
        <f>B80-B81+B82</f>
        <v>0</v>
      </c>
      <c r="C83" s="1">
        <f t="shared" ref="C83:O83" si="9">C80-C81+C82</f>
        <v>0</v>
      </c>
      <c r="D83" s="1">
        <f t="shared" si="9"/>
        <v>0</v>
      </c>
      <c r="E83" s="1">
        <f t="shared" si="9"/>
        <v>0</v>
      </c>
      <c r="F83" s="1">
        <f t="shared" si="9"/>
        <v>8096</v>
      </c>
      <c r="G83" s="1">
        <f t="shared" si="9"/>
        <v>4200</v>
      </c>
      <c r="H83" s="1">
        <f t="shared" si="9"/>
        <v>4947</v>
      </c>
      <c r="I83" s="1">
        <f t="shared" si="9"/>
        <v>2919</v>
      </c>
      <c r="J83" s="1">
        <f t="shared" si="9"/>
        <v>3573</v>
      </c>
      <c r="K83" s="1">
        <f t="shared" si="9"/>
        <v>4147</v>
      </c>
      <c r="L83" s="1">
        <f t="shared" si="9"/>
        <v>0</v>
      </c>
      <c r="M83" s="1">
        <f t="shared" si="9"/>
        <v>0</v>
      </c>
      <c r="N83" s="1">
        <f t="shared" si="9"/>
        <v>0</v>
      </c>
      <c r="O83" s="1">
        <f t="shared" si="9"/>
        <v>0</v>
      </c>
    </row>
    <row r="85" spans="1:15" x14ac:dyDescent="0.2">
      <c r="A85" s="1" t="s">
        <v>34</v>
      </c>
    </row>
    <row r="86" spans="1:15" x14ac:dyDescent="0.2">
      <c r="A86" s="1" t="s">
        <v>4</v>
      </c>
      <c r="I86" s="1">
        <v>649</v>
      </c>
      <c r="J86" s="1">
        <v>1576</v>
      </c>
      <c r="K86" s="1">
        <v>696</v>
      </c>
    </row>
    <row r="87" spans="1:15" x14ac:dyDescent="0.2">
      <c r="A87" s="1" t="s">
        <v>5</v>
      </c>
      <c r="I87" s="1">
        <v>87</v>
      </c>
      <c r="J87" s="1">
        <v>98</v>
      </c>
      <c r="K87" s="1">
        <v>87</v>
      </c>
    </row>
    <row r="88" spans="1:15" x14ac:dyDescent="0.2">
      <c r="A88" s="1" t="s">
        <v>6</v>
      </c>
      <c r="I88" s="1">
        <v>-94</v>
      </c>
      <c r="J88" s="1">
        <v>27</v>
      </c>
      <c r="K88" s="1">
        <v>186</v>
      </c>
    </row>
    <row r="89" spans="1:15" x14ac:dyDescent="0.2">
      <c r="A89" s="1" t="s">
        <v>7</v>
      </c>
      <c r="I89" s="1">
        <v>274</v>
      </c>
    </row>
    <row r="90" spans="1:15" x14ac:dyDescent="0.2">
      <c r="A90" s="1" t="s">
        <v>8</v>
      </c>
      <c r="I90" s="1">
        <v>-131</v>
      </c>
      <c r="J90" s="1">
        <v>-199</v>
      </c>
      <c r="K90" s="1">
        <v>324</v>
      </c>
    </row>
    <row r="91" spans="1:15" x14ac:dyDescent="0.2">
      <c r="A91" s="1" t="s">
        <v>9</v>
      </c>
      <c r="I91" s="1">
        <v>1208</v>
      </c>
      <c r="K91" s="1">
        <v>674</v>
      </c>
    </row>
    <row r="92" spans="1:15" x14ac:dyDescent="0.2">
      <c r="A92" s="1" t="s">
        <v>10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Earnings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Zhou, Tianyu</dc:creator>
  <cp:lastModifiedBy>Zhou, Tianyu</cp:lastModifiedBy>
  <dcterms:created xsi:type="dcterms:W3CDTF">2023-12-30T23:18:33Z</dcterms:created>
  <dcterms:modified xsi:type="dcterms:W3CDTF">2024-01-01T05:46:13Z</dcterms:modified>
</cp:coreProperties>
</file>